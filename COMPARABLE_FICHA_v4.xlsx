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alisteoortega.sharepoint.com/sites/CITAEARQUITECTURA/Documentos compartidos/"/>
    </mc:Choice>
  </mc:AlternateContent>
  <xr:revisionPtr revIDLastSave="92" documentId="13_ncr:1_{C7F2A014-6AEB-4B60-9E83-74072B03B33F}" xr6:coauthVersionLast="47" xr6:coauthVersionMax="47" xr10:uidLastSave="{DCD8D9C7-2D0A-4056-A4C3-21C83E861EF9}"/>
  <bookViews>
    <workbookView xWindow="28680" yWindow="-120" windowWidth="29040" windowHeight="15720" xr2:uid="{00000000-000D-0000-FFFF-FFFF00000000}"/>
  </bookViews>
  <sheets>
    <sheet name="COMPAR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0" i="1" s="1"/>
</calcChain>
</file>

<file path=xl/sharedStrings.xml><?xml version="1.0" encoding="utf-8"?>
<sst xmlns="http://schemas.openxmlformats.org/spreadsheetml/2006/main" count="33" uniqueCount="33">
  <si>
    <t>COMPARABLE 1</t>
  </si>
  <si>
    <t>Dirección / Emplazamiento</t>
  </si>
  <si>
    <t>Municipio</t>
  </si>
  <si>
    <t>Provincia</t>
  </si>
  <si>
    <t>Santa Cruz de Tenerife</t>
  </si>
  <si>
    <t>Número</t>
  </si>
  <si>
    <t>Planta</t>
  </si>
  <si>
    <t>Código postal</t>
  </si>
  <si>
    <t>Fecha</t>
  </si>
  <si>
    <t>Ref. catastral</t>
  </si>
  <si>
    <t>Tipo de inmueble</t>
  </si>
  <si>
    <t>Dormitorios</t>
  </si>
  <si>
    <t>Baños</t>
  </si>
  <si>
    <t>Parcela (m²)</t>
  </si>
  <si>
    <t>Sup. construida (m²)</t>
  </si>
  <si>
    <t>Edad inmueble (años)</t>
  </si>
  <si>
    <t>Últ. reforma (años)</t>
  </si>
  <si>
    <t>Estado</t>
  </si>
  <si>
    <t>Terraza</t>
  </si>
  <si>
    <t>Garaje</t>
  </si>
  <si>
    <t>Piscina</t>
  </si>
  <si>
    <t>Trastero</t>
  </si>
  <si>
    <t>Vistas</t>
  </si>
  <si>
    <t>Observaciones:</t>
  </si>
  <si>
    <t>Precio oferta (€)</t>
  </si>
  <si>
    <t>Precio anejos (€)</t>
  </si>
  <si>
    <t>Corrección (%)</t>
  </si>
  <si>
    <t>Precio oferta corregido (€)</t>
  </si>
  <si>
    <t>UNITARIO DE MERCADO (€/m²)</t>
  </si>
  <si>
    <t>Fuente</t>
  </si>
  <si>
    <t>API / Comercializador</t>
  </si>
  <si>
    <t>URL del anuncio</t>
  </si>
  <si>
    <t>Ascensor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</si>
</sst>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\€"/>
    <numFmt numFmtId="165" formatCode="#,##0.00\ &quot;€/m²&quot;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Segoe UI"/>
    </font>
    <font>
      <sz val="6"/>
      <color rgb="FF000000"/>
      <name val="Segoe UI"/>
    </font>
    <font>
      <b/>
      <sz val="6"/>
      <color rgb="FF000000"/>
      <name val="Segoe UI"/>
    </font>
    <font>
      <b/>
      <sz val="8"/>
      <color rgb="FF000000"/>
      <name val="Segoe UI"/>
    </font>
    <font>
      <i/>
      <sz val="6"/>
      <color rgb="FF0563C1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6B0A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/>
      <right/>
      <top style="thin">
        <color rgb="FFBFBFBF"/>
      </top>
      <bottom style="medium">
        <color indexed="64"/>
      </bottom>
      <diagonal/>
    </border>
    <border>
      <left/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medium">
        <color indexed="64"/>
      </left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 style="medium">
        <color indexed="64"/>
      </right>
      <top style="medium">
        <color indexed="64"/>
      </top>
      <bottom/>
      <diagonal/>
    </border>
    <border>
      <left style="thin">
        <color rgb="FFBFBFBF"/>
      </left>
      <right style="medium">
        <color indexed="64"/>
      </right>
      <top style="thin">
        <color rgb="FFBFBFBF"/>
      </top>
      <bottom/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rgb="FFBFBFBF"/>
      </left>
      <right/>
      <top style="medium">
        <color indexed="64"/>
      </top>
      <bottom/>
      <diagonal/>
    </border>
    <border>
      <left style="thin">
        <color rgb="FFBFBFBF"/>
      </left>
      <right style="medium">
        <color indexed="64"/>
      </right>
      <top/>
      <bottom style="thin">
        <color rgb="FFBFBFBF"/>
      </bottom>
      <diagonal/>
    </border>
    <border>
      <left style="medium">
        <color indexed="64"/>
      </left>
      <right style="thin">
        <color rgb="FF404040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4" fontId="2" fillId="3" borderId="5" xfId="0" applyNumberFormat="1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164" fontId="2" fillId="3" borderId="23" xfId="0" applyNumberFormat="1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164" fontId="3" fillId="3" borderId="24" xfId="0" applyNumberFormat="1" applyFont="1" applyFill="1" applyBorder="1" applyAlignment="1">
      <alignment horizontal="left" vertical="center"/>
    </xf>
    <xf numFmtId="165" fontId="4" fillId="4" borderId="25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left" vertical="center"/>
    </xf>
    <xf numFmtId="0" fontId="2" fillId="3" borderId="29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2" fillId="3" borderId="28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5" borderId="30" xfId="0" applyFont="1" applyFill="1" applyBorder="1" applyAlignment="1">
      <alignment horizontal="center" vertical="center"/>
    </xf>
    <xf numFmtId="0" fontId="0" fillId="5" borderId="26" xfId="0" applyFill="1" applyBorder="1"/>
    <xf numFmtId="0" fontId="0" fillId="5" borderId="27" xfId="0" applyFill="1" applyBorder="1"/>
    <xf numFmtId="0" fontId="2" fillId="3" borderId="7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2" fillId="3" borderId="11" xfId="0" applyFont="1" applyFill="1" applyBorder="1" applyAlignment="1">
      <alignment horizontal="left" vertical="center"/>
    </xf>
    <xf numFmtId="0" fontId="0" fillId="0" borderId="0" xfId="0"/>
    <xf numFmtId="0" fontId="3" fillId="4" borderId="18" xfId="0" applyFont="1" applyFill="1" applyBorder="1" applyAlignment="1">
      <alignment horizontal="right" vertical="center" indent="1"/>
    </xf>
    <xf numFmtId="0" fontId="0" fillId="0" borderId="21" xfId="0" applyBorder="1"/>
    <xf numFmtId="0" fontId="2" fillId="6" borderId="20" xfId="0" applyFont="1" applyFill="1" applyBorder="1" applyAlignment="1">
      <alignment horizontal="left" vertical="center"/>
    </xf>
    <xf numFmtId="164" fontId="2" fillId="3" borderId="31" xfId="0" applyNumberFormat="1" applyFont="1" applyFill="1" applyBorder="1" applyAlignment="1">
      <alignment horizontal="left" vertical="center"/>
    </xf>
    <xf numFmtId="0" fontId="2" fillId="7" borderId="32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2" fillId="6" borderId="32" xfId="0" applyFont="1" applyFill="1" applyBorder="1" applyAlignment="1">
      <alignment horizontal="left" vertical="center"/>
    </xf>
    <xf numFmtId="9" fontId="2" fillId="3" borderId="31" xfId="0" applyNumberFormat="1" applyFont="1" applyFill="1" applyBorder="1" applyAlignment="1">
      <alignment horizontal="left" vertical="center"/>
    </xf>
    <xf numFmtId="0" fontId="0" fillId="0" borderId="3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149CCD-A6C8-4F46-9C20-B61172660DAB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9cc7ca00-1a97-4978-9b34-240eeb3e5b2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150" workbookViewId="0">
      <pane ySplit="1" topLeftCell="A2" activePane="bottomLeft" state="frozen"/>
      <selection pane="bottomLeft" activeCell="E26" sqref="E26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" width="14" customWidth="1"/>
    <col min="4" max="4" width="9" customWidth="1"/>
    <col min="5" max="5" width="14" customWidth="1"/>
    <col min="6" max="6" width="9" customWidth="1"/>
    <col min="7" max="8" width="14" customWidth="1"/>
  </cols>
  <sheetData>
    <row r="1" spans="1:8" ht="14.1" customHeight="1" thickBot="1" x14ac:dyDescent="0.3">
      <c r="A1" s="31" t="s">
        <v>0</v>
      </c>
      <c r="B1" s="32"/>
      <c r="C1" s="32"/>
      <c r="D1" s="32"/>
      <c r="E1" s="32"/>
      <c r="F1" s="32"/>
      <c r="G1" s="32"/>
      <c r="H1" s="33"/>
    </row>
    <row r="2" spans="1:8" ht="12" customHeight="1" x14ac:dyDescent="0.25">
      <c r="A2" s="6" t="s">
        <v>1</v>
      </c>
      <c r="B2" s="37"/>
      <c r="C2" s="38"/>
      <c r="D2" s="38"/>
      <c r="E2" s="8" t="s">
        <v>2</v>
      </c>
      <c r="F2" s="7"/>
      <c r="G2" s="8" t="s">
        <v>3</v>
      </c>
      <c r="H2" s="24" t="s">
        <v>4</v>
      </c>
    </row>
    <row r="3" spans="1:8" ht="12" customHeight="1" x14ac:dyDescent="0.25">
      <c r="A3" s="3" t="s">
        <v>5</v>
      </c>
      <c r="B3" s="1"/>
      <c r="C3" s="2" t="s">
        <v>6</v>
      </c>
      <c r="D3" s="1"/>
      <c r="E3" s="2" t="s">
        <v>7</v>
      </c>
      <c r="F3" s="1"/>
      <c r="G3" s="2" t="s">
        <v>8</v>
      </c>
      <c r="H3" s="4"/>
    </row>
    <row r="4" spans="1:8" ht="12" customHeight="1" thickBot="1" x14ac:dyDescent="0.3">
      <c r="A4" s="5" t="s">
        <v>9</v>
      </c>
      <c r="B4" s="34"/>
      <c r="C4" s="35"/>
      <c r="D4" s="35"/>
      <c r="E4" s="35"/>
      <c r="F4" s="35"/>
      <c r="G4" s="35"/>
      <c r="H4" s="36"/>
    </row>
    <row r="5" spans="1:8" ht="12" customHeight="1" x14ac:dyDescent="0.25">
      <c r="A5" s="10" t="s">
        <v>10</v>
      </c>
      <c r="B5" s="11"/>
      <c r="C5" s="12" t="s">
        <v>11</v>
      </c>
      <c r="D5" s="11"/>
      <c r="E5" s="12" t="s">
        <v>12</v>
      </c>
      <c r="F5" s="11"/>
      <c r="G5" s="12" t="s">
        <v>13</v>
      </c>
      <c r="H5" s="13"/>
    </row>
    <row r="6" spans="1:8" ht="12" customHeight="1" thickBot="1" x14ac:dyDescent="0.3">
      <c r="A6" s="5" t="s">
        <v>14</v>
      </c>
      <c r="B6" s="9"/>
      <c r="C6" s="14" t="s">
        <v>15</v>
      </c>
      <c r="D6" s="9"/>
      <c r="E6" s="14" t="s">
        <v>16</v>
      </c>
      <c r="F6" s="9"/>
      <c r="G6" s="14" t="s">
        <v>17</v>
      </c>
      <c r="H6" s="15"/>
    </row>
    <row r="7" spans="1:8" ht="12" customHeight="1" x14ac:dyDescent="0.25">
      <c r="A7" s="10" t="s">
        <v>18</v>
      </c>
      <c r="B7" s="11"/>
      <c r="C7" s="12" t="s">
        <v>19</v>
      </c>
      <c r="D7" s="23"/>
      <c r="E7" s="20" t="s">
        <v>20</v>
      </c>
      <c r="F7" s="23"/>
      <c r="G7" s="12" t="s">
        <v>21</v>
      </c>
      <c r="H7" s="13"/>
    </row>
    <row r="8" spans="1:8" ht="12" customHeight="1" thickBot="1" x14ac:dyDescent="0.3">
      <c r="A8" s="16" t="s">
        <v>22</v>
      </c>
      <c r="B8" s="17"/>
      <c r="C8" s="41" t="s">
        <v>32</v>
      </c>
      <c r="D8" s="43"/>
      <c r="E8" s="45" t="s">
        <v>23</v>
      </c>
      <c r="F8" s="47"/>
      <c r="G8" s="26"/>
      <c r="H8" s="27"/>
    </row>
    <row r="9" spans="1:8" ht="12" customHeight="1" x14ac:dyDescent="0.25">
      <c r="A9" s="18" t="s">
        <v>24</v>
      </c>
      <c r="B9" s="19"/>
      <c r="C9" s="20" t="s">
        <v>25</v>
      </c>
      <c r="D9" s="42"/>
      <c r="E9" s="44" t="s">
        <v>26</v>
      </c>
      <c r="F9" s="46">
        <v>0.08</v>
      </c>
      <c r="G9" s="20" t="s">
        <v>27</v>
      </c>
      <c r="H9" s="21">
        <f>(B9-D9)*(1-F9)</f>
        <v>0</v>
      </c>
    </row>
    <row r="10" spans="1:8" ht="12.95" customHeight="1" thickBot="1" x14ac:dyDescent="0.3">
      <c r="A10" s="39" t="s">
        <v>28</v>
      </c>
      <c r="B10" s="40"/>
      <c r="C10" s="40"/>
      <c r="D10" s="40"/>
      <c r="E10" s="40"/>
      <c r="F10" s="40"/>
      <c r="G10" s="40"/>
      <c r="H10" s="22" t="str">
        <f>IFERROR(H9/B6,"")</f>
        <v/>
      </c>
    </row>
    <row r="11" spans="1:8" ht="12" customHeight="1" x14ac:dyDescent="0.25">
      <c r="A11" s="18" t="s">
        <v>29</v>
      </c>
      <c r="B11" s="23"/>
      <c r="C11" s="20" t="s">
        <v>30</v>
      </c>
      <c r="D11" s="28"/>
      <c r="E11" s="29"/>
      <c r="F11" s="29"/>
      <c r="G11" s="29"/>
      <c r="H11" s="30"/>
    </row>
    <row r="12" spans="1:8" ht="12" customHeight="1" thickBot="1" x14ac:dyDescent="0.3">
      <c r="A12" s="5" t="s">
        <v>31</v>
      </c>
      <c r="B12" s="25"/>
      <c r="C12" s="26"/>
      <c r="D12" s="26"/>
      <c r="E12" s="26"/>
      <c r="F12" s="26"/>
      <c r="G12" s="26"/>
      <c r="H12" s="27"/>
    </row>
    <row r="13" spans="1:8" ht="12" customHeight="1" x14ac:dyDescent="0.25"/>
    <row r="14" spans="1:8" ht="12" customHeight="1" x14ac:dyDescent="0.25"/>
    <row r="15" spans="1:8" ht="12" customHeight="1" x14ac:dyDescent="0.25"/>
  </sheetData>
  <mergeCells count="7">
    <mergeCell ref="B12:H12"/>
    <mergeCell ref="D11:H11"/>
    <mergeCell ref="A1:H1"/>
    <mergeCell ref="B4:H4"/>
    <mergeCell ref="B2:D2"/>
    <mergeCell ref="A10:G10"/>
    <mergeCell ref="F8:H8"/>
  </mergeCells>
  <dataValidations count="5">
    <dataValidation type="list" allowBlank="1" sqref="H6" xr:uid="{00000000-0002-0000-0000-000000000000}">
      <formula1>"Muy malo,Malo,Medio,Bueno,Muy bueno"</formula1>
    </dataValidation>
    <dataValidation type="list" allowBlank="1" sqref="B11" xr:uid="{00000000-0002-0000-0000-000001000000}">
      <formula1>"API,Particular"</formula1>
    </dataValidation>
    <dataValidation type="list" allowBlank="1" sqref="B7 B8 D7 F7 H7" xr:uid="{00000000-0002-0000-0000-000002000000}">
      <formula1>"Sí,No"</formula1>
    </dataValidation>
    <dataValidation type="list" allowBlank="1" sqref="F2:F3" xr:uid="{00000000-0002-0000-0000-000003000000}">
      <formula1>""</formula1>
    </dataValidation>
    <dataValidation type="list" allowBlank="1" showInputMessage="1" showErrorMessage="1" sqref="D8" xr:uid="{FCB69D13-F5EB-4DD7-8A1C-9BA191FFA608}">
      <formula1>"Sí,No"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4cda04-322f-4194-a39e-32a54e031a6b" xsi:nil="true"/>
    <lcf76f155ced4ddcb4097134ff3c332f xmlns="4764f0f6-458f-4af1-86bb-e0284dd862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CA67C2628CE54F8D866AAA67C10195" ma:contentTypeVersion="10" ma:contentTypeDescription="Crear nuevo documento." ma:contentTypeScope="" ma:versionID="f6521879415ec61b3e2a36a86657071d">
  <xsd:schema xmlns:xsd="http://www.w3.org/2001/XMLSchema" xmlns:xs="http://www.w3.org/2001/XMLSchema" xmlns:p="http://schemas.microsoft.com/office/2006/metadata/properties" xmlns:ns2="4764f0f6-458f-4af1-86bb-e0284dd86230" xmlns:ns3="8c4cda04-322f-4194-a39e-32a54e031a6b" targetNamespace="http://schemas.microsoft.com/office/2006/metadata/properties" ma:root="true" ma:fieldsID="06429c3fc6c72fa55ca9eecdf29eab89" ns2:_="" ns3:_="">
    <xsd:import namespace="4764f0f6-458f-4af1-86bb-e0284dd86230"/>
    <xsd:import namespace="8c4cda04-322f-4194-a39e-32a54e031a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f0f6-458f-4af1-86bb-e0284dd862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d9aa05d-899f-4bcd-bc34-ca30d8e8bd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cda04-322f-4194-a39e-32a54e031a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556f10-8dee-4f6c-8c53-993362e14be9}" ma:internalName="TaxCatchAll" ma:showField="CatchAllData" ma:web="8c4cda04-322f-4194-a39e-32a54e031a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57D60E-2D65-4661-A2EE-5F478299EE99}">
  <ds:schemaRefs>
    <ds:schemaRef ds:uri="http://schemas.microsoft.com/office/2006/metadata/properties"/>
    <ds:schemaRef ds:uri="http://schemas.microsoft.com/office/infopath/2007/PartnerControls"/>
    <ds:schemaRef ds:uri="8c4cda04-322f-4194-a39e-32a54e031a6b"/>
    <ds:schemaRef ds:uri="4764f0f6-458f-4af1-86bb-e0284dd86230"/>
  </ds:schemaRefs>
</ds:datastoreItem>
</file>

<file path=customXml/itemProps2.xml><?xml version="1.0" encoding="utf-8"?>
<ds:datastoreItem xmlns:ds="http://schemas.openxmlformats.org/officeDocument/2006/customXml" ds:itemID="{233941E5-26F6-4DDC-9E4A-513A54871F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ED7987-4CD6-494F-A0C1-E2C355DF81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64f0f6-458f-4af1-86bb-e0284dd86230"/>
    <ds:schemaRef ds:uri="8c4cda04-322f-4194-a39e-32a54e031a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Carlos Galisteo Ortega</cp:lastModifiedBy>
  <cp:revision/>
  <dcterms:created xsi:type="dcterms:W3CDTF">2026-05-21T13:36:20Z</dcterms:created>
  <dcterms:modified xsi:type="dcterms:W3CDTF">2026-05-25T08:33:16Z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0x01010097CA67C2628CE54F8D866AAA67C10195</vt:lpwstr>
  </property>
  <property fmtid="{D5CDD505-2E9C-101B-9397-08002B2CF9AE}" pid="3" name="MediaServiceImageTags">
    <vt:lpwstr/>
  </property>
</Properties>
</file>